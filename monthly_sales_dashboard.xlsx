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1C8023A10DFBD/Documents/"/>
    </mc:Choice>
  </mc:AlternateContent>
  <xr:revisionPtr revIDLastSave="0" documentId="8_{D5E7F8CE-786F-4C5B-8422-EB633A395118}" xr6:coauthVersionLast="47" xr6:coauthVersionMax="47" xr10:uidLastSave="{00000000-0000-0000-0000-000000000000}"/>
  <bookViews>
    <workbookView xWindow="1080" yWindow="984" windowWidth="11952" windowHeight="9540" firstSheet="1" activeTab="1" xr2:uid="{26D4546B-D2A1-4444-8EAF-A6228F96F0C1}"/>
  </bookViews>
  <sheets>
    <sheet name="Data" sheetId="1" r:id="rId1"/>
    <sheet name="Dahboard" sheetId="2" r:id="rId2"/>
    <sheet name="Calc" sheetId="3" r:id="rId3"/>
  </sheets>
  <definedNames>
    <definedName name="_xlcn.WorksheetConnection_telugudashboardblank1.xlsxchoc1" hidden="1">choc[]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" name="choc" connection="WorksheetConnection_telugu-dashboard-blank (1).xlsx!cho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2" l="1"/>
  <c r="E6" i="2"/>
  <c r="C32" i="2"/>
  <c r="G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32" i="2"/>
  <c r="E39" i="2"/>
  <c r="E33" i="2"/>
  <c r="E34" i="2"/>
  <c r="E35" i="2"/>
  <c r="E36" i="2"/>
  <c r="E37" i="2"/>
  <c r="E38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32" i="2"/>
  <c r="C36" i="2"/>
  <c r="C33" i="2"/>
  <c r="C34" i="2"/>
  <c r="C35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6" i="2"/>
  <c r="I6" i="2"/>
  <c r="G6" i="2"/>
  <c r="D33" i="2" l="1"/>
  <c r="D56" i="2"/>
  <c r="D40" i="2"/>
  <c r="D47" i="2"/>
  <c r="D39" i="2"/>
  <c r="D54" i="2"/>
  <c r="D38" i="2"/>
  <c r="D53" i="2"/>
  <c r="D45" i="2"/>
  <c r="D37" i="2"/>
  <c r="D52" i="2"/>
  <c r="D44" i="2"/>
  <c r="D36" i="2"/>
  <c r="D51" i="2"/>
  <c r="D43" i="2"/>
  <c r="D35" i="2"/>
  <c r="D46" i="2"/>
  <c r="D50" i="2"/>
  <c r="D42" i="2"/>
  <c r="D34" i="2"/>
  <c r="D48" i="2"/>
  <c r="D55" i="2"/>
  <c r="D32" i="2"/>
  <c r="D49" i="2"/>
  <c r="D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96809-B21C-4013-A571-E60DDF7545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263397-DCD1-4B96-BB76-C308C6A4A6B3}" name="WorksheetConnection_telugu-dashboard-blank (1).xlsx!choc" type="102" refreshedVersion="8" minRefreshableVersion="5">
    <extLst>
      <ext xmlns:x15="http://schemas.microsoft.com/office/spreadsheetml/2010/11/main" uri="{DE250136-89BD-433C-8126-D09CA5730AF9}">
        <x15:connection id="choc" autoDelete="1">
          <x15:rangePr sourceName="_xlcn.WorksheetConnection_telugudashboardblank1.xlsxchoc1"/>
        </x15:connection>
      </ext>
    </extLst>
  </connection>
</connections>
</file>

<file path=xl/sharedStrings.xml><?xml version="1.0" encoding="utf-8"?>
<sst xmlns="http://schemas.openxmlformats.org/spreadsheetml/2006/main" count="7267" uniqueCount="78">
  <si>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</si>
  <si>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</si>
  <si>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</si>
  <si>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</si>
  <si>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</si>
  <si>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</si>
  <si>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</si>
  <si>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</si>
  <si>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</si>
  <si>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</si>
  <si>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</si>
  <si>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</si>
  <si>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</si>
  <si>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</si>
  <si>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</si>
  <si>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</si>
  <si>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</si>
  <si>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</si>
  <si>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</si>
  <si>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</si>
  <si>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</si>
  <si>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</si>
  <si>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</si>
  <si>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</si>
  <si>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</si>
  <si>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</si>
  <si>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</si>
  <si>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</si>
  <si>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</si>
  <si>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</si>
  <si>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</si>
  <si>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</si>
  <si>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</si>
  <si>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</si>
  <si>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</si>
  <si>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</si>
  <si>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</si>
  <si>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</si>
  <si>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</si>
  <si>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</si>
  <si>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</si>
  <si>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</si>
  <si>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</si>
  <si>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</si>
  <si>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</si>
  <si>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</si>
  <si>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</si>
  <si>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</si>
  <si>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</si>
  <si>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</si>
  <si>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</si>
  <si>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</si>
  <si>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</si>
  <si>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</si>
  <si>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</si>
  <si>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</si>
  <si>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</si>
  <si>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</si>
  <si>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</si>
  <si>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</si>
  <si>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</si>
  <si>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</si>
  <si>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</si>
  <si>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</si>
  <si>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Sum of Amount</t>
  </si>
  <si>
    <t>Sum of Boxes</t>
  </si>
  <si>
    <t>Count of Product</t>
  </si>
  <si>
    <t>Row Labels</t>
  </si>
  <si>
    <t>Grand Total</t>
  </si>
  <si>
    <t>Distinct Count of Sales Person</t>
  </si>
  <si>
    <t>Avg. Amount per Person</t>
  </si>
  <si>
    <t>Total Sales</t>
  </si>
  <si>
    <t>Total Boxes</t>
  </si>
  <si>
    <t>Total Shipments</t>
  </si>
  <si>
    <t>Sales per Person</t>
  </si>
  <si>
    <t>Sales</t>
  </si>
  <si>
    <t>Shipments</t>
  </si>
  <si>
    <t>Monthly Sales Dashboard - Awesome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</si>
</sst>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₹-44A]#,##0"/>
    <numFmt numFmtId="165" formatCode="[$₹-44A]#,##0.00"/>
    <numFmt numFmtId="166" formatCode="&quot;₹&quot;\ #,##0;#,##0\ \-&quot;₹&quot;;&quot;₹&quot;\ #,##0"/>
    <numFmt numFmtId="167" formatCode="&quot;₹&quot;\ #,##0"/>
    <numFmt numFmtId="168" formatCode="_ * #,##0_ ;_ * \-#,##0_ ;_ * &quot;-&quot;??_ ;_ @_ "/>
    <numFmt numFmtId="169" formatCode="&quot;₹&quot;\ #,##0.0,,&quot;mn&quot;"/>
    <numFmt numFmtId="170" formatCode="&quot;₹&quot;\ #,##0.0,&quot;k&quot;"/>
  </numFmts>
  <fonts count="8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Aptos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2" tint="-0.249977111117893"/>
      </right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/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0" fontId="0" fillId="6" borderId="0" xfId="0" applyFill="1"/>
    <xf numFmtId="167" fontId="5" fillId="5" borderId="6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5" borderId="8" xfId="0" applyNumberFormat="1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8" fontId="5" fillId="5" borderId="8" xfId="1" applyNumberFormat="1" applyFont="1" applyFill="1" applyBorder="1" applyAlignment="1">
      <alignment horizontal="right" vertical="center" wrapText="1" indent="5"/>
    </xf>
    <xf numFmtId="0" fontId="4" fillId="0" borderId="11" xfId="0" applyFont="1" applyBorder="1"/>
    <xf numFmtId="0" fontId="0" fillId="0" borderId="10" xfId="0" applyBorder="1"/>
    <xf numFmtId="0" fontId="0" fillId="0" borderId="9" xfId="0" applyBorder="1"/>
    <xf numFmtId="0" fontId="0" fillId="0" borderId="12" xfId="0" applyBorder="1"/>
    <xf numFmtId="0" fontId="2" fillId="5" borderId="12" xfId="0" applyFont="1" applyFill="1" applyBorder="1"/>
    <xf numFmtId="0" fontId="0" fillId="0" borderId="12" xfId="0" applyBorder="1" applyAlignment="1">
      <alignment horizontal="left"/>
    </xf>
    <xf numFmtId="170" fontId="0" fillId="0" borderId="12" xfId="0" applyNumberFormat="1" applyBorder="1"/>
    <xf numFmtId="168" fontId="0" fillId="0" borderId="12" xfId="1" applyNumberFormat="1" applyFont="1" applyBorder="1"/>
    <xf numFmtId="1" fontId="0" fillId="0" borderId="12" xfId="0" applyNumberFormat="1" applyBorder="1"/>
    <xf numFmtId="168" fontId="0" fillId="6" borderId="12" xfId="1" applyNumberFormat="1" applyFont="1" applyFill="1" applyBorder="1"/>
    <xf numFmtId="0" fontId="7" fillId="6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numFmt numFmtId="3" formatCode="#,##0"/>
    </dxf>
    <dxf>
      <numFmt numFmtId="3" formatCode="#,##0"/>
    </dxf>
    <dxf>
      <numFmt numFmtId="1" formatCode="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&quot;₹&quot;\ #,##0.0,,&quot;mn&quot;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</dxfs>
  <tableStyles count="0" defaultTableStyle="TableStyleMedium2" defaultPivotStyle="PivotStyleLight16"/>
  <colors>
    <mruColors>
      <color rgb="FFDE4204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[monthly_sales_dashboard.xlsx]Calc!PivotTable2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accent2">
                    <a:lumMod val="50000"/>
                  </a:schemeClr>
                </a:solidFill>
              </a:rPr>
              <a:t>Sales by Geography</a:t>
            </a:r>
          </a:p>
        </c:rich>
      </c:tx>
      <c:layout>
        <c:manualLayout>
          <c:xMode val="edge"/>
          <c:yMode val="edge"/>
          <c:x val="4.2801623602558313E-2"/>
          <c:y val="2.850584482046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ln>
                <a:noFill/>
              </a:ln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 w="9525" cap="flat" cmpd="sng" algn="ctr">
            <a:noFill/>
            <a:round/>
          </a:ln>
          <a:effectLst>
            <a:glow>
              <a:schemeClr val="accent2">
                <a:satMod val="175000"/>
                <a:alpha val="31000"/>
              </a:schemeClr>
            </a:glow>
            <a:outerShdw dist="241300" dir="2760000" sx="1000" sy="1000" algn="ctr" rotWithShape="0">
              <a:srgbClr val="000000">
                <a:alpha val="83000"/>
              </a:srgbClr>
            </a:outerShdw>
            <a:softEdge rad="0"/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 w="9525" cap="flat" cmpd="sng" algn="ctr">
            <a:noFill/>
            <a:round/>
          </a:ln>
          <a:effectLst>
            <a:glow>
              <a:schemeClr val="accent2">
                <a:satMod val="175000"/>
                <a:alpha val="31000"/>
              </a:schemeClr>
            </a:glow>
            <a:outerShdw dist="241300" dir="2760000" sx="1000" sy="1000" algn="ctr" rotWithShape="0">
              <a:srgbClr val="000000">
                <a:alpha val="83000"/>
              </a:srgbClr>
            </a:outerShdw>
            <a:softEdge rad="0"/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2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 w="9525" cap="flat" cmpd="sng" algn="ctr">
            <a:noFill/>
            <a:round/>
          </a:ln>
          <a:effectLst>
            <a:glow>
              <a:schemeClr val="accent2">
                <a:satMod val="175000"/>
                <a:alpha val="31000"/>
              </a:schemeClr>
            </a:glow>
            <a:outerShdw dist="241300" dir="2760000" sx="1000" sy="1000" algn="ctr" rotWithShape="0">
              <a:srgbClr val="000000">
                <a:alpha val="83000"/>
              </a:srgbClr>
            </a:outerShdw>
            <a:softEdge rad="0"/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50000">
                <a:schemeClr val="accent4"/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 w="9525" cap="flat" cmpd="sng" algn="ctr">
            <a:noFill/>
            <a:round/>
          </a:ln>
          <a:effectLst>
            <a:glow>
              <a:schemeClr val="accent2">
                <a:satMod val="175000"/>
                <a:alpha val="31000"/>
              </a:schemeClr>
            </a:glow>
            <a:outerShdw dist="241300" dir="2760000" sx="1000" sy="1000" algn="ctr" rotWithShape="0">
              <a:srgbClr val="000000">
                <a:alpha val="83000"/>
              </a:srgbClr>
            </a:outerShdw>
            <a:softEdge rad="0"/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Calc!$C$19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chemeClr val="accent4"/>
                </a:gs>
                <a:gs pos="100000">
                  <a:schemeClr val="accent2">
                    <a:lumMod val="60000"/>
                  </a:schemeClr>
                </a:gs>
              </a:gsLst>
              <a:path path="circle">
                <a:fillToRect t="100000" r="100000"/>
              </a:path>
              <a:tileRect l="-100000" b="-100000"/>
            </a:gradFill>
            <a:ln w="9525" cap="flat" cmpd="sng" algn="ctr">
              <a:noFill/>
              <a:round/>
            </a:ln>
            <a:effectLst>
              <a:glow>
                <a:schemeClr val="accent2">
                  <a:satMod val="175000"/>
                  <a:alpha val="31000"/>
                </a:schemeClr>
              </a:glow>
              <a:outerShdw dist="241300" dir="2760000" sx="1000" sy="1000" algn="ctr" rotWithShape="0">
                <a:srgbClr val="000000">
                  <a:alpha val="83000"/>
                </a:srgb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 w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Calc!$B$20:$B$26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Calc!$C$20:$C$26</c:f>
              <c:numCache>
                <c:formatCode>"₹"\ #,##0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7-4DC4-A3AE-BA5849F72F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780993016"/>
        <c:axId val="780993736"/>
      </c:barChart>
      <c:catAx>
        <c:axId val="780993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993736"/>
        <c:crosses val="autoZero"/>
        <c:auto val="1"/>
        <c:lblAlgn val="ctr"/>
        <c:lblOffset val="100"/>
        <c:noMultiLvlLbl val="0"/>
      </c:catAx>
      <c:valAx>
        <c:axId val="780993736"/>
        <c:scaling>
          <c:orientation val="minMax"/>
          <c:min val="0"/>
        </c:scaling>
        <c:delete val="1"/>
        <c:axPos val="t"/>
        <c:majorGridlines>
          <c:spPr>
            <a:ln w="9525" cap="flat" cmpd="sng" algn="ctr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round/>
            </a:ln>
            <a:effectLst>
              <a:glow>
                <a:schemeClr val="bg1"/>
              </a:glow>
              <a:outerShdw blurRad="50800" dist="76200" dir="3600000" algn="ctr" rotWithShape="0">
                <a:schemeClr val="bg1"/>
              </a:outerShdw>
            </a:effectLst>
          </c:spPr>
        </c:majorGridlines>
        <c:numFmt formatCode="&quot;₹&quot;\ #,##0" sourceLinked="1"/>
        <c:majorTickMark val="none"/>
        <c:minorTickMark val="none"/>
        <c:tickLblPos val="nextTo"/>
        <c:crossAx val="780993016"/>
        <c:crosses val="autoZero"/>
        <c:crossBetween val="between"/>
      </c:valAx>
      <c:spPr>
        <a:noFill/>
        <a:ln>
          <a:noFill/>
        </a:ln>
        <a:effectLst>
          <a:outerShdw blurRad="50800" dist="50800" dir="5400000" sx="1000" sy="1000" algn="ctr" rotWithShape="0">
            <a:schemeClr val="tx1">
              <a:lumMod val="50000"/>
              <a:lumOff val="50000"/>
            </a:scheme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gradFill flip="none" rotWithShape="1">
        <a:gsLst>
          <a:gs pos="29000">
            <a:schemeClr val="accent2">
              <a:lumMod val="30000"/>
              <a:lumOff val="70000"/>
            </a:schemeClr>
          </a:gs>
          <a:gs pos="83000">
            <a:schemeClr val="accent2">
              <a:lumMod val="45000"/>
              <a:lumOff val="55000"/>
            </a:schemeClr>
          </a:gs>
          <a:gs pos="100000">
            <a:schemeClr val="accent2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[monthly_sales_dashboard.xlsx]Calc!PivotTable3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29767748154632284"/>
          <c:y val="3.2373958817770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marker>
          <c:symbol val="none"/>
        </c:marker>
        <c:dLbl>
          <c:idx val="0"/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dLbl>
          <c:idx val="0"/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40000"/>
                  <a:lumOff val="60000"/>
                </a:schemeClr>
              </a:gs>
              <a:gs pos="46000">
                <a:schemeClr val="accent4">
                  <a:lumMod val="95000"/>
                  <a:lumOff val="5000"/>
                </a:schemeClr>
              </a:gs>
              <a:gs pos="100000">
                <a:schemeClr val="accent4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dLbl>
          <c:idx val="0"/>
          <c:layout>
            <c:manualLayout>
              <c:x val="0.11789588801399825"/>
              <c:y val="0.21515893846602507"/>
            </c:manualLayout>
          </c:layout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dLbl>
          <c:idx val="0"/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marker>
          <c:symbol val="none"/>
        </c:marker>
        <c:dLbl>
          <c:idx val="0"/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</c:pivotFmt>
      <c:pivotFmt>
        <c:idx val="7"/>
        <c:spPr>
          <a:gradFill flip="none" rotWithShape="1">
            <a:gsLst>
              <a:gs pos="0">
                <a:schemeClr val="accent4">
                  <a:lumMod val="40000"/>
                  <a:lumOff val="60000"/>
                </a:schemeClr>
              </a:gs>
              <a:gs pos="46000">
                <a:schemeClr val="accent4">
                  <a:lumMod val="95000"/>
                  <a:lumOff val="5000"/>
                </a:schemeClr>
              </a:gs>
              <a:gs pos="100000">
                <a:schemeClr val="accent4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dLbl>
          <c:idx val="0"/>
          <c:layout>
            <c:manualLayout>
              <c:x val="0.11789588801399825"/>
              <c:y val="0.21515893846602507"/>
            </c:manualLayout>
          </c:layout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marker>
          <c:symbol val="none"/>
        </c:marker>
        <c:dLbl>
          <c:idx val="0"/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</c:pivotFmt>
      <c:pivotFmt>
        <c:idx val="11"/>
        <c:spPr>
          <a:gradFill flip="none" rotWithShape="1">
            <a:gsLst>
              <a:gs pos="0">
                <a:schemeClr val="accent4">
                  <a:lumMod val="40000"/>
                  <a:lumOff val="60000"/>
                </a:schemeClr>
              </a:gs>
              <a:gs pos="46000">
                <a:schemeClr val="accent4">
                  <a:lumMod val="95000"/>
                  <a:lumOff val="5000"/>
                </a:schemeClr>
              </a:gs>
              <a:gs pos="100000">
                <a:schemeClr val="accent4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19050"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ln>
          <a:effectLst/>
        </c:spPr>
        <c:dLbl>
          <c:idx val="0"/>
          <c:layout>
            <c:manualLayout>
              <c:x val="0.16904783322010961"/>
              <c:y val="0.21515878085545681"/>
            </c:manualLayout>
          </c:layout>
          <c:numFmt formatCode="&quot;₹&quot;\ #,##0.0,,&quot;mn&quot;" sourceLinked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txPr>
            <a:bodyPr rot="0" spcFirstLastPara="1" vertOverflow="overflow" horzOverflow="overflow" vert="horz" wrap="square" lIns="36000" tIns="19050" rIns="36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Calc!$C$50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19050">
                <a:gradFill flip="none" rotWithShape="1">
                  <a:gsLst>
                    <a:gs pos="0">
                      <a:schemeClr val="accent3">
                        <a:lumMod val="5000"/>
                        <a:lumOff val="95000"/>
                      </a:schemeClr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3E-4565-B734-32EE4B7762E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19050">
                <a:gradFill flip="none" rotWithShape="1">
                  <a:gsLst>
                    <a:gs pos="0">
                      <a:schemeClr val="accent3">
                        <a:lumMod val="5000"/>
                        <a:lumOff val="95000"/>
                      </a:schemeClr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3E-4565-B734-32EE4B7762E9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19050">
                <a:gradFill flip="none" rotWithShape="1">
                  <a:gsLst>
                    <a:gs pos="0">
                      <a:schemeClr val="accent3">
                        <a:lumMod val="5000"/>
                        <a:lumOff val="95000"/>
                      </a:schemeClr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3E-4565-B734-32EE4B7762E9}"/>
              </c:ext>
            </c:extLst>
          </c:dPt>
          <c:dLbls>
            <c:dLbl>
              <c:idx val="2"/>
              <c:layout>
                <c:manualLayout>
                  <c:x val="0.16904783322010961"/>
                  <c:y val="0.215158780855456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3E-4565-B734-32EE4B7762E9}"/>
                </c:ext>
              </c:extLst>
            </c:dLbl>
            <c:numFmt formatCode="&quot;₹&quot;\ #,##0.0,,&quot;mn&quot;" sourceLinked="0"/>
            <c:spPr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2700000" scaled="0"/>
                <a:tileRect/>
              </a:gra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6000" tIns="19050" rIns="360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Calc!$B$51:$B$54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Calc!$C$51:$C$54</c:f>
              <c:numCache>
                <c:formatCode>"₹"\ #,##0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3E-4565-B734-32EE4B7762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6</xdr:col>
      <xdr:colOff>782594</xdr:colOff>
      <xdr:row>25</xdr:row>
      <xdr:rowOff>171622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3065F-6FE7-405B-97C4-C7B35C73C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1002269</xdr:colOff>
      <xdr:row>11</xdr:row>
      <xdr:rowOff>1</xdr:rowOff>
    </xdr:from>
    <xdr:to>
      <xdr:col>8</xdr:col>
      <xdr:colOff>1997675</xdr:colOff>
      <xdr:row>25</xdr:row>
      <xdr:rowOff>168167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DF7701-FF4F-4A4F-B8CC-FFB0F36E7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k" refreshedDate="46169.659708564817" backgroundQuery="1" createdVersion="8" refreshedVersion="8" minRefreshableVersion="3" recordCount="0" supportSubquery="1" supportAdvancedDrill="1" xr:uid="{A7AB69E5-BD01-48DA-81BA-14142B9AE13A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. Amount per Person]" caption="Avg. Amount per Person" numFmtId="0" hierarchy="12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0" memberValueDatatype="130" unbalanced="0"/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Sum of Amount]" caption="Sum of Amount" measure="1" displayFolder="" measureGroup="choc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" count="0" oneField="1">
      <fieldsUsage count="1">
        <fieldUsage x="4"/>
      </fieldsUsage>
    </cacheHierarchy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k" refreshedDate="46169.673456944445" backgroundQuery="1" createdVersion="8" refreshedVersion="8" minRefreshableVersion="3" recordCount="0" supportSubquery="1" supportAdvancedDrill="1" xr:uid="{9B737604-D8ED-4863-9EA2-54B2BD74A33D}">
  <cacheSource type="external" connectionId="1"/>
  <cacheFields count="2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k" refreshedDate="46169.931210763891" backgroundQuery="1" createdVersion="8" refreshedVersion="8" minRefreshableVersion="3" recordCount="0" supportSubquery="1" supportAdvancedDrill="1" xr:uid="{D8CC3A8C-08C8-4A2F-903F-381E87E75B01}">
  <cacheSource type="external" connectionId="1"/>
  <cacheFields count="3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k" refreshedDate="46170.384901967591" backgroundQuery="1" createdVersion="8" refreshedVersion="8" minRefreshableVersion="3" recordCount="0" supportSubquery="1" supportAdvancedDrill="1" xr:uid="{3D8709E1-B007-46EC-AEB8-763C4F7FD6C6}">
  <cacheSource type="external" connectionId="1"/>
  <cacheFields count="5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2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>
      <fieldsUsage count="2">
        <fieldUsage x="-1"/>
        <fieldUsage x="2"/>
      </fieldsUsage>
    </cacheHierarchy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2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/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54EDF-9C4E-4B8B-A0AA-7BE09884CE33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4:F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7"/>
    <dataField name="Sum of Boxes" fld="1" baseField="0" baseItem="0" numFmtId="3"/>
    <dataField name="Count of Product" fld="2" subtotal="count" baseField="0" baseItem="0" numFmtId="3"/>
    <dataField name="Distinct Count of Sales Person" fld="3" subtotal="count" baseField="0" baseItem="0" numFmtId="1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formats count="4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8">
      <pivotArea outline="0" fieldPosition="0">
        <references count="1">
          <reference field="4294967294" count="1">
            <x v="2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 (1)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C3C84-1F75-4AA2-ADDC-6E0F8D9C3DC0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0">
  <location ref="C72:F98" firstHeaderRow="0" firstDataRow="1" firstDataCol="1"/>
  <pivotFields count="5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 numFmtId="169"/>
    <dataField name="Sum of Boxes" fld="3" baseField="0" baseItem="0" numFmtId="1"/>
    <dataField name="Count of Product" fld="4" subtotal="count" baseField="0" baseItem="0" numFmtId="1"/>
  </dataFields>
  <formats count="6">
    <format dxfId="17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 (1)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EF5D8-F113-4EAB-B818-7627A0495538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0">
  <location ref="B50:C54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7"/>
  </dataFields>
  <formats count="1">
    <format dxfId="18">
      <pivotArea outline="0" collapsedLevelsAreSubtotals="1" fieldPosition="0"/>
    </format>
  </format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 (1)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11B0B-7B40-4CE0-8390-CCBC8F17C9B9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B19:C26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1" baseField="0" baseItem="0" numFmtId="167"/>
  </dataFields>
  <formats count="1">
    <format dxfId="19">
      <pivotArea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 (1)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60338-06FF-49B7-9C8A-39496A8839A6}" name="choc" displayName="choc" ref="C4:I1804" totalsRowShown="0" headerRowDxfId="7" headerRowBorderDxfId="6">
  <autoFilter ref="C4:I1804" xr:uid="{36060338-06FF-49B7-9C8A-39496A8839A6}"/>
  <tableColumns count="7">
    <tableColumn id="1" xr3:uid="{634330A6-241A-40E7-991A-D7FC3238DEB5}" name="Country"/>
    <tableColumn id="2" xr3:uid="{6161BF1B-517D-42E0-B4FE-2E505CA9276D}" name="Product"/>
    <tableColumn id="3" xr3:uid="{946137A0-7AD7-413B-B04D-42FD44D2C27F}" name="Sales Person"/>
    <tableColumn id="4" xr3:uid="{CE96FBC9-DDC9-49F2-B57D-C5EB99EC8C36}" name="Date" dataDxfId="5"/>
    <tableColumn id="5" xr3:uid="{FA43F53A-C9B8-44FD-8256-00BC1D0CA43C}" name="Amount" dataDxfId="4"/>
    <tableColumn id="6" xr3:uid="{FB4F3F59-A9BF-45D3-B65B-498682B403DB}" name="Boxes" dataDxfId="3"/>
    <tableColumn id="7" xr3:uid="{1510C43E-DB61-42ED-92B7-763E311AC88B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2" workbookViewId="0">
      <selection activeCell="L26" sqref="L26"/>
    </sheetView>
  </sheetViews>
  <sheetFormatPr defaultRowHeight="14.4" x14ac:dyDescent="0.3"/>
  <cols>
    <col min="1" max="1" width="1.6640625" customWidth="1"/>
    <col min="2" max="2" width="3.6640625" customWidth="1"/>
    <col min="3" max="3" width="13.5546875" bestFit="1" customWidth="1"/>
    <col min="4" max="4" width="21.88671875" bestFit="1" customWidth="1"/>
    <col min="5" max="5" width="25.109375" bestFit="1" customWidth="1"/>
    <col min="6" max="6" width="10.109375" bestFit="1" customWidth="1"/>
    <col min="7" max="7" width="10.33203125" bestFit="1" customWidth="1"/>
    <col min="8" max="8" width="7.77734375" customWidth="1"/>
    <col min="9" max="9" width="10.44140625" customWidth="1"/>
  </cols>
  <sheetData>
    <row r="1" spans="1:9" s="1" customFormat="1" ht="52.5" customHeight="1" x14ac:dyDescent="0.3">
      <c r="A1" s="3"/>
      <c r="C1" s="2" t="s">
        <v>63</v>
      </c>
    </row>
    <row r="4" spans="1:9" x14ac:dyDescent="0.3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3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3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3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3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3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3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3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3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3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3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3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3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3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3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3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3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3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3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3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3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3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3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3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3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3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3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3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3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3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3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3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3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3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3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3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3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3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3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3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3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3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3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3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3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3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3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3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3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3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3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3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3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3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3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3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3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3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3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3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3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3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3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3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3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3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3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3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3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3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3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3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3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3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3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3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3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3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3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3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3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3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3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3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3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3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3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3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3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3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3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3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3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3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3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3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3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3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3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3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3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3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3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3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3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3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3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3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3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3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3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3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3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3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3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3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3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3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3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3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3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3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3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3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3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3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3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3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3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3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3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3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3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3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3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3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3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3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3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3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3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3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3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3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3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3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3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3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3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3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3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3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3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3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3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3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3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3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3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3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3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3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3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3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3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3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3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3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3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3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3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3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3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3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3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3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3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3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3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3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3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3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3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3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3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3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3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3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3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3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3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3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3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3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3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3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3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3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3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3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3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3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3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3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3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3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3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3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3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3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3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3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3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3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3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3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3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3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3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3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3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3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3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3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3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3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3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3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3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3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3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3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3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3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3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3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3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3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3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3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3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3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3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3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3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3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3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3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3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3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3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3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3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3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3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3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3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3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3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3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3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3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3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3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3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3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3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3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3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3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3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3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3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3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3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3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3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3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3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3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3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3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3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3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3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3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3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3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3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3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3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3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3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3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3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3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3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3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3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3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3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3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3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3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3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3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3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3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3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3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3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3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3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3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3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3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3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3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3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3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3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3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3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3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3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3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3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3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3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3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3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3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3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3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3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3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3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3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3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3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3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3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3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3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3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3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3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3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3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3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3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3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3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3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3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3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3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3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3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3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3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3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3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3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3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3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3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3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3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3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3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3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3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3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3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3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3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3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3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3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3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3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3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3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3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3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3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3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3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3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3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3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3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3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3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3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3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3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3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3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3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3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3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3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3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3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3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3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3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3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3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3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3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3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3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3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3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3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3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3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3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3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3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3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3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3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3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3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3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3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3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3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3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3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3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3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3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3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3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3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3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3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3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3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3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3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3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3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3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3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3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3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3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3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3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3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3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3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3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3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3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3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3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3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3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3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3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3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3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3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3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3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3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3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3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3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3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3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3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3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3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3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3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3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3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3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3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3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3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3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3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3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3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3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3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3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3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3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3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3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3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3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3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3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3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3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3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3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3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3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3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3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3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3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3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3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3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3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3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3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3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3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3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3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3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3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3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3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3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3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3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3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3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3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3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3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3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3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3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3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3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3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3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3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3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3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3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3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3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3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3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3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3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3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3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3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3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3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3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3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3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3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3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3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3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3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3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3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3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3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3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3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3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3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3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3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3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3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3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3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3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3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3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3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3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3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3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3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3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3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3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3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3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3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3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3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3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3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3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3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3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3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3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3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3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3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3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3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3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3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3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3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3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3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3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3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3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3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3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3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3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3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3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3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3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3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3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3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3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3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3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3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3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3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3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3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3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3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3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3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3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3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3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3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3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3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3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3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3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3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3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3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3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3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3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3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3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3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3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3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3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3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3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3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3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3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3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3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3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3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3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3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3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3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3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3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3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3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3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3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3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3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3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3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3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3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3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3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3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3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3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3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3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3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3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3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3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3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3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3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3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3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3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3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3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3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3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3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3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3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3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3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3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3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3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3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3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3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3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3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3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3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3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3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3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3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3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3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3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3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3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3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3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3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3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3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3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3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3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3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3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3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3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3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3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3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3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3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3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3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3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3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3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3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3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3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3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3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3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3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3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3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3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3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3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3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3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3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3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3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3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3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3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3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3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3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3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3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3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3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3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3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3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3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3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3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3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3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3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3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3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3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3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3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3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3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3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3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3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3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3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3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3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3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3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3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3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3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3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3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3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3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3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3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3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3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3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3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3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3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3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3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3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3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3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3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3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3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3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3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3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3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3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3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3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3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3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3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3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3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3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3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3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3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3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3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3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3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3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3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3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3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3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3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3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3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3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3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3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3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3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3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3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3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3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3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3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3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3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3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3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3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3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3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3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3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3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3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3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3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3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3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3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3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3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3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3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3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3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3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3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3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3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3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3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3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3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3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3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3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3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3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3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3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3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3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3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3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3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3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3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3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3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3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3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3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3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3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3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3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3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3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3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3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3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3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3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3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3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3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3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3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3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3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3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3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3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3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3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3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3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3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3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3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3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3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3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3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3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3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3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3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3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3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3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3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3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3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3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3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3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3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3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3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3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3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3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3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3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3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3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3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3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3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3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3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3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3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3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3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3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3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3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3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3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3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3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3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3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3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3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3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3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3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3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3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3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3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3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3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3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3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3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3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3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3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3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3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3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3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3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3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3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3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3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3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3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3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3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3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3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3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3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3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3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3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3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3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3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3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3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3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3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3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3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3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3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3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3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3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3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3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3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3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3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3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3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3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3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3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3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3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3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3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3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3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3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3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3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3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3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3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3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3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3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3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3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3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3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3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3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3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3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3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3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3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3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3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3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3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3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3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3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3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3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3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3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3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3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3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3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3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3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3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3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3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3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3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3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3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3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3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3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3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3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3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3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3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3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3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3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3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3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3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3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3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3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3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3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3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3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3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3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3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3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3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3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3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3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3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3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3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3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3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3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3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3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3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3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3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3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3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3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3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3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3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3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3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3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3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3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3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3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3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3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3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3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3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3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3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3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3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3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3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3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3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3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3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3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3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3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3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3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3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3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3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3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3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3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3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3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3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3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3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3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3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3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3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3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3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3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3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3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3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3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3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3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3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3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3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3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3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3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3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3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3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3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3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3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3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3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3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3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3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3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3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3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3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3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3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3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3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3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3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3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3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3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3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3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3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3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3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3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3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3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3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3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3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3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3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3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3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3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3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3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3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3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3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3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3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3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3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3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3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3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3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3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3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3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3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3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3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3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3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3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3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3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3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3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3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3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3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3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3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3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3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3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3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3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3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3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3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3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3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3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3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3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3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3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3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3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3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3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3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3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3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3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3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3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3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3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3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3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3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3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3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3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3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3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3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3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3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3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3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3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3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3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3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3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3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3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3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3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3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3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3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3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3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3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3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3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3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3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3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3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3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3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3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3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3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3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3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3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3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3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3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3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3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3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3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3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3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3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3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3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3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3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3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3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3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3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3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3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3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3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3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3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3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3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3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3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3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3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3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3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3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3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3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3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3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3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3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3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3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3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3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3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3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3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3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3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3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3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3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3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3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3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3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3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3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3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3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3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3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3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3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3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3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3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3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3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3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3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3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3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3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3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3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3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3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3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3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3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3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3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3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3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3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3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3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3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3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3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3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3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3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3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3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3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3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3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3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3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3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3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3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3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3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3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3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3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3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3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3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3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3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3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3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3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3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3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3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3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3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3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3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3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3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3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3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3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3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3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3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3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3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3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3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3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3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3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3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3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3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3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3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3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3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3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3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3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3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3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3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3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3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3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3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3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3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3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3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3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3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3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3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3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3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3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3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3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3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3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3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3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3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3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3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3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3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3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3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3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3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3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3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3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3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3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3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3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3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3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3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3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3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3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3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3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3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3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3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3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3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3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3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3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3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3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3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3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3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3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3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3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3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3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3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3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3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3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3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3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3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3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3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3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3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3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3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3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3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3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3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3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3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3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3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3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3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3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3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3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3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3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3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3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3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3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3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3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3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3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3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3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3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3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3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3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3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3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3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3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3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3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3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3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3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3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3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3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3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3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3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3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3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3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3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3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3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3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3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3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3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3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3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3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3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3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3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3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3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3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3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3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3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3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3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3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3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3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3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3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3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3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3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3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3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3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3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3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3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3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3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3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3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3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3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3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3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3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3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3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3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3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3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3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3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3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3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3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3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3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3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3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3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3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3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3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3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3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3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3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3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3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3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3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3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3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3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3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3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3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3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3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3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3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3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3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3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3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3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3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3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3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3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3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3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3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3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3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3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3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3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3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3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3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3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3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3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3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3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3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3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3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3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3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3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3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3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3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3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3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3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3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3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3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3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3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3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3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3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3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3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3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3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3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3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3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3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3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3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3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3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3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3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3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3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3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3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3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3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3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3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3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3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3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3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3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3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3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3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3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3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3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3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3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3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3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3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3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3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3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3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3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3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3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3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3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3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3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3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3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3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3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3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3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3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3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3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3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ECA9-9A25-4E07-BD51-80F332FB2256}">
  <dimension ref="A1:AB58"/>
  <sheetViews>
    <sheetView showGridLines="0" tabSelected="1" zoomScale="83" zoomScaleNormal="111" workbookViewId="0">
      <selection activeCell="O26" sqref="O26"/>
    </sheetView>
  </sheetViews>
  <sheetFormatPr defaultRowHeight="14.4" x14ac:dyDescent="0.3"/>
  <cols>
    <col min="1" max="1" width="2.6640625" customWidth="1"/>
    <col min="2" max="2" width="3.6640625" customWidth="1"/>
    <col min="3" max="3" width="29.88671875" customWidth="1"/>
    <col min="4" max="4" width="3.33203125" customWidth="1"/>
    <col min="5" max="5" width="27.88671875" customWidth="1"/>
    <col min="6" max="6" width="3.6640625" customWidth="1"/>
    <col min="7" max="7" width="26" customWidth="1"/>
    <col min="8" max="8" width="2.88671875" customWidth="1"/>
    <col min="9" max="9" width="29.21875" customWidth="1"/>
  </cols>
  <sheetData>
    <row r="1" spans="1:28" s="24" customFormat="1" ht="31.8" customHeight="1" x14ac:dyDescent="0.3">
      <c r="A1" s="41" t="s">
        <v>77</v>
      </c>
      <c r="B1" s="41"/>
      <c r="C1" s="41"/>
      <c r="D1" s="41"/>
      <c r="E1" s="41"/>
      <c r="F1" s="41"/>
      <c r="G1" s="41"/>
      <c r="H1" s="41"/>
      <c r="I1" s="41"/>
    </row>
    <row r="4" spans="1:28" ht="15.6" customHeight="1" x14ac:dyDescent="0.3">
      <c r="C4" s="16"/>
      <c r="E4" s="16"/>
      <c r="G4" s="16"/>
      <c r="I4" s="16"/>
    </row>
    <row r="5" spans="1:28" s="13" customFormat="1" ht="23.4" customHeight="1" x14ac:dyDescent="0.35">
      <c r="B5" s="18"/>
      <c r="C5" s="19" t="s">
        <v>71</v>
      </c>
      <c r="D5" s="17"/>
      <c r="E5" s="20" t="s">
        <v>72</v>
      </c>
      <c r="F5" s="21"/>
      <c r="G5" s="20" t="s">
        <v>73</v>
      </c>
      <c r="H5" s="21"/>
      <c r="I5" s="20" t="s">
        <v>74</v>
      </c>
      <c r="AB5" s="31"/>
    </row>
    <row r="6" spans="1:28" ht="46.8" customHeight="1" x14ac:dyDescent="0.3">
      <c r="B6" s="15"/>
      <c r="C6" s="25">
        <f>Calc!B5</f>
        <v>750177492.04999995</v>
      </c>
      <c r="D6" s="26"/>
      <c r="E6" s="30">
        <f>Calc!C5</f>
        <v>669020</v>
      </c>
      <c r="F6" s="27"/>
      <c r="G6" s="28">
        <f>Calc!D5</f>
        <v>1800</v>
      </c>
      <c r="H6" s="26"/>
      <c r="I6" s="29">
        <f>Calc!F5</f>
        <v>30007099.681999996</v>
      </c>
    </row>
    <row r="21" spans="3:28" x14ac:dyDescent="0.3">
      <c r="AB21" s="32"/>
    </row>
    <row r="22" spans="3:28" x14ac:dyDescent="0.3">
      <c r="AB22" s="32"/>
    </row>
    <row r="23" spans="3:28" x14ac:dyDescent="0.3">
      <c r="AB23" s="33"/>
    </row>
    <row r="31" spans="3:28" x14ac:dyDescent="0.3">
      <c r="C31" s="35" t="s">
        <v>55</v>
      </c>
      <c r="D31" s="35"/>
      <c r="E31" s="35" t="s">
        <v>75</v>
      </c>
      <c r="F31" s="35"/>
      <c r="G31" s="35" t="s">
        <v>58</v>
      </c>
      <c r="H31" s="35"/>
      <c r="I31" s="35" t="s">
        <v>76</v>
      </c>
    </row>
    <row r="32" spans="3:28" x14ac:dyDescent="0.3">
      <c r="C32" s="36" t="str">
        <f>Calc!C73</f>
        <v>Devrat Damarsingh</v>
      </c>
      <c r="D32" s="34">
        <f>IF(_xlfn.RANK.AVG(E32,$E$32:$E$56,0)&lt;=10,1,0)</f>
        <v>1</v>
      </c>
      <c r="E32" s="37">
        <f>Calc!D73</f>
        <v>33361933.710000001</v>
      </c>
      <c r="F32" s="34"/>
      <c r="G32" s="38">
        <f>Calc!E73</f>
        <v>30608</v>
      </c>
      <c r="H32" s="34"/>
      <c r="I32" s="39">
        <f>Calc!F73</f>
        <v>77</v>
      </c>
    </row>
    <row r="33" spans="3:9" x14ac:dyDescent="0.3">
      <c r="C33" s="36" t="str">
        <f>Calc!C74</f>
        <v>Devsena Veluvalapalli</v>
      </c>
      <c r="D33" s="34">
        <f t="shared" ref="D33:D56" si="0">IF(_xlfn.RANK.AVG(E33,$E$32:$E$56,0)&lt;=10,1,0)</f>
        <v>1</v>
      </c>
      <c r="E33" s="37">
        <f>Calc!D74</f>
        <v>34520948.560000002</v>
      </c>
      <c r="F33" s="34"/>
      <c r="G33" s="38">
        <v>33282</v>
      </c>
      <c r="H33" s="34"/>
      <c r="I33" s="39">
        <f>Calc!F74</f>
        <v>76</v>
      </c>
    </row>
    <row r="34" spans="3:9" x14ac:dyDescent="0.3">
      <c r="C34" s="36" t="str">
        <f>Calc!C75</f>
        <v>Dinanath Simhambhatla</v>
      </c>
      <c r="D34" s="34">
        <f t="shared" si="0"/>
        <v>1</v>
      </c>
      <c r="E34" s="37">
        <f>Calc!D75</f>
        <v>37033915.729999997</v>
      </c>
      <c r="F34" s="34"/>
      <c r="G34" s="38">
        <v>30805</v>
      </c>
      <c r="H34" s="34"/>
      <c r="I34" s="39">
        <f>Calc!F75</f>
        <v>81</v>
      </c>
    </row>
    <row r="35" spans="3:9" x14ac:dyDescent="0.3">
      <c r="C35" s="36" t="str">
        <f>Calc!C76</f>
        <v>Duran Appala</v>
      </c>
      <c r="D35" s="34">
        <f t="shared" si="0"/>
        <v>0</v>
      </c>
      <c r="E35" s="37">
        <f>Calc!D76</f>
        <v>26761926.66</v>
      </c>
      <c r="F35" s="34"/>
      <c r="G35" s="38">
        <v>24550</v>
      </c>
      <c r="H35" s="34"/>
      <c r="I35" s="39">
        <f>Calc!F76</f>
        <v>71</v>
      </c>
    </row>
    <row r="36" spans="3:9" x14ac:dyDescent="0.3">
      <c r="C36" s="36" t="str">
        <f>Calc!C77</f>
        <v>Gopal Venkata</v>
      </c>
      <c r="D36" s="34">
        <f t="shared" si="0"/>
        <v>0</v>
      </c>
      <c r="E36" s="37">
        <f>Calc!D77</f>
        <v>27533038.050000001</v>
      </c>
      <c r="F36" s="34"/>
      <c r="G36" s="38">
        <v>23645</v>
      </c>
      <c r="H36" s="34"/>
      <c r="I36" s="39">
        <f>Calc!F77</f>
        <v>70</v>
      </c>
    </row>
    <row r="37" spans="3:9" x14ac:dyDescent="0.3">
      <c r="C37" s="36" t="str">
        <f>Calc!C78</f>
        <v>Gowri Sankar Chakrala</v>
      </c>
      <c r="D37" s="34">
        <f t="shared" si="0"/>
        <v>1</v>
      </c>
      <c r="E37" s="37">
        <f>Calc!D78</f>
        <v>34079381.979999997</v>
      </c>
      <c r="F37" s="34"/>
      <c r="G37" s="38">
        <v>30966</v>
      </c>
      <c r="H37" s="34"/>
      <c r="I37" s="39">
        <f>Calc!F78</f>
        <v>80</v>
      </c>
    </row>
    <row r="38" spans="3:9" x14ac:dyDescent="0.3">
      <c r="C38" s="36" t="str">
        <f>Calc!C79</f>
        <v>Jaipal Potanapudi</v>
      </c>
      <c r="D38" s="34">
        <f t="shared" si="0"/>
        <v>0</v>
      </c>
      <c r="E38" s="37">
        <f>Calc!D79</f>
        <v>28619175.760000002</v>
      </c>
      <c r="F38" s="34"/>
      <c r="G38" s="38">
        <v>25820</v>
      </c>
      <c r="H38" s="34"/>
      <c r="I38" s="39">
        <f>Calc!F79</f>
        <v>65</v>
      </c>
    </row>
    <row r="39" spans="3:9" x14ac:dyDescent="0.3">
      <c r="C39" s="36" t="str">
        <f>Calc!C80</f>
        <v>John Joseph</v>
      </c>
      <c r="D39" s="34">
        <f t="shared" si="0"/>
        <v>0</v>
      </c>
      <c r="E39" s="37">
        <f>Calc!D80</f>
        <v>21653834.16</v>
      </c>
      <c r="F39" s="34"/>
      <c r="G39" s="38">
        <v>19025</v>
      </c>
      <c r="H39" s="34"/>
      <c r="I39" s="39">
        <f>Calc!F80</f>
        <v>62</v>
      </c>
    </row>
    <row r="40" spans="3:9" x14ac:dyDescent="0.3">
      <c r="C40" s="36" t="str">
        <f>Calc!C81</f>
        <v>Lalitchandra Vadali</v>
      </c>
      <c r="D40" s="34">
        <f t="shared" si="0"/>
        <v>1</v>
      </c>
      <c r="E40" s="37">
        <f>Calc!D81</f>
        <v>32413454.289999999</v>
      </c>
      <c r="F40" s="34"/>
      <c r="G40" s="38">
        <v>28964</v>
      </c>
      <c r="H40" s="34"/>
      <c r="I40" s="39">
        <f>Calc!F81</f>
        <v>78</v>
      </c>
    </row>
    <row r="41" spans="3:9" x14ac:dyDescent="0.3">
      <c r="C41" s="36" t="str">
        <f>Calc!C82</f>
        <v>Mayur Kousika</v>
      </c>
      <c r="D41" s="34">
        <f t="shared" si="0"/>
        <v>0</v>
      </c>
      <c r="E41" s="37">
        <f>Calc!D82</f>
        <v>30142629.16</v>
      </c>
      <c r="F41" s="34"/>
      <c r="G41" s="38">
        <v>26993</v>
      </c>
      <c r="H41" s="34"/>
      <c r="I41" s="39">
        <f>Calc!F82</f>
        <v>70</v>
      </c>
    </row>
    <row r="42" spans="3:9" x14ac:dyDescent="0.3">
      <c r="C42" s="36" t="str">
        <f>Calc!C83</f>
        <v>Nazeer Basha Mustafa</v>
      </c>
      <c r="D42" s="34">
        <f t="shared" si="0"/>
        <v>0</v>
      </c>
      <c r="E42" s="37">
        <f>Calc!D83</f>
        <v>24271402.609999999</v>
      </c>
      <c r="F42" s="34"/>
      <c r="G42" s="38">
        <v>20573</v>
      </c>
      <c r="H42" s="34"/>
      <c r="I42" s="39">
        <f>Calc!F83</f>
        <v>70</v>
      </c>
    </row>
    <row r="43" spans="3:9" x14ac:dyDescent="0.3">
      <c r="C43" s="36" t="str">
        <f>Calc!C84</f>
        <v>Oorjit Nandanavanam</v>
      </c>
      <c r="D43" s="34">
        <f t="shared" si="0"/>
        <v>0</v>
      </c>
      <c r="E43" s="37">
        <f>Calc!D84</f>
        <v>30175070.66</v>
      </c>
      <c r="F43" s="34"/>
      <c r="G43" s="38">
        <v>28141</v>
      </c>
      <c r="H43" s="34"/>
      <c r="I43" s="39">
        <f>Calc!F84</f>
        <v>77</v>
      </c>
    </row>
    <row r="44" spans="3:9" x14ac:dyDescent="0.3">
      <c r="C44" s="36" t="str">
        <f>Calc!C85</f>
        <v>Parasuramudu Jamakayala</v>
      </c>
      <c r="D44" s="34">
        <f t="shared" si="0"/>
        <v>0</v>
      </c>
      <c r="E44" s="37">
        <f>Calc!D85</f>
        <v>30316625.920000002</v>
      </c>
      <c r="F44" s="34"/>
      <c r="G44" s="38">
        <v>26096</v>
      </c>
      <c r="H44" s="34"/>
      <c r="I44" s="39">
        <f>Calc!F85</f>
        <v>70</v>
      </c>
    </row>
    <row r="45" spans="3:9" x14ac:dyDescent="0.3">
      <c r="C45" s="36" t="str">
        <f>Calc!C86</f>
        <v>Ponnan Delhi</v>
      </c>
      <c r="D45" s="34">
        <f t="shared" si="0"/>
        <v>1</v>
      </c>
      <c r="E45" s="37">
        <f>Calc!D86</f>
        <v>32136174</v>
      </c>
      <c r="F45" s="34"/>
      <c r="G45" s="38">
        <v>29960</v>
      </c>
      <c r="H45" s="34"/>
      <c r="I45" s="39">
        <f>Calc!F86</f>
        <v>72</v>
      </c>
    </row>
    <row r="46" spans="3:9" x14ac:dyDescent="0.3">
      <c r="C46" s="36" t="str">
        <f>Calc!C87</f>
        <v>Prasanna Lakshmi Payasam</v>
      </c>
      <c r="D46" s="34">
        <f t="shared" si="0"/>
        <v>0</v>
      </c>
      <c r="E46" s="37">
        <f>Calc!D87</f>
        <v>20275842.579999998</v>
      </c>
      <c r="F46" s="34"/>
      <c r="G46" s="40">
        <v>16987</v>
      </c>
      <c r="H46" s="34"/>
      <c r="I46" s="39">
        <f>Calc!F87</f>
        <v>58</v>
      </c>
    </row>
    <row r="47" spans="3:9" x14ac:dyDescent="0.3">
      <c r="C47" s="36" t="str">
        <f>Calc!C88</f>
        <v>Raghuveer Yettugunna</v>
      </c>
      <c r="D47" s="34">
        <f t="shared" si="0"/>
        <v>0</v>
      </c>
      <c r="E47" s="37">
        <f>Calc!D88</f>
        <v>30798384.190000001</v>
      </c>
      <c r="F47" s="34"/>
      <c r="G47" s="38">
        <v>27224</v>
      </c>
      <c r="H47" s="34"/>
      <c r="I47" s="39">
        <f>Calc!F88</f>
        <v>69</v>
      </c>
    </row>
    <row r="48" spans="3:9" x14ac:dyDescent="0.3">
      <c r="C48" s="36" t="str">
        <f>Calc!C89</f>
        <v>Ramalingam Kothapeta</v>
      </c>
      <c r="D48" s="34">
        <f t="shared" si="0"/>
        <v>1</v>
      </c>
      <c r="E48" s="37">
        <f>Calc!D89</f>
        <v>35396605.649999999</v>
      </c>
      <c r="F48" s="34"/>
      <c r="G48" s="38">
        <v>31134</v>
      </c>
      <c r="H48" s="34"/>
      <c r="I48" s="39">
        <f>Calc!F89</f>
        <v>76</v>
      </c>
    </row>
    <row r="49" spans="3:9" x14ac:dyDescent="0.3">
      <c r="C49" s="36" t="str">
        <f>Calc!C90</f>
        <v>Sahaj Jonnalagadda</v>
      </c>
      <c r="D49" s="34">
        <f t="shared" si="0"/>
        <v>0</v>
      </c>
      <c r="E49" s="37">
        <f>Calc!D90</f>
        <v>27270945.73</v>
      </c>
      <c r="F49" s="34"/>
      <c r="G49" s="38">
        <v>24579</v>
      </c>
      <c r="H49" s="34"/>
      <c r="I49" s="39">
        <f>Calc!F90</f>
        <v>69</v>
      </c>
    </row>
    <row r="50" spans="3:9" x14ac:dyDescent="0.3">
      <c r="C50" s="36" t="str">
        <f>Calc!C91</f>
        <v>Sravanthi Chalaki</v>
      </c>
      <c r="D50" s="34">
        <f t="shared" si="0"/>
        <v>0</v>
      </c>
      <c r="E50" s="37">
        <f>Calc!D91</f>
        <v>31225256.09</v>
      </c>
      <c r="F50" s="34"/>
      <c r="G50" s="38">
        <v>28865</v>
      </c>
      <c r="H50" s="34"/>
      <c r="I50" s="39">
        <f>Calc!F91</f>
        <v>73</v>
      </c>
    </row>
    <row r="51" spans="3:9" x14ac:dyDescent="0.3">
      <c r="C51" s="36" t="str">
        <f>Calc!C92</f>
        <v>Sreenivasa Naik Gudiwada</v>
      </c>
      <c r="D51" s="34">
        <f t="shared" si="0"/>
        <v>0</v>
      </c>
      <c r="E51" s="37">
        <f>Calc!D92</f>
        <v>24605974.260000002</v>
      </c>
      <c r="F51" s="34"/>
      <c r="G51" s="38">
        <v>24078</v>
      </c>
      <c r="H51" s="34"/>
      <c r="I51" s="39">
        <f>Calc!F92</f>
        <v>67</v>
      </c>
    </row>
    <row r="52" spans="3:9" x14ac:dyDescent="0.3">
      <c r="C52" s="36" t="str">
        <f>Calc!C93</f>
        <v>Subbarao Malladi</v>
      </c>
      <c r="D52" s="34">
        <f t="shared" si="0"/>
        <v>0</v>
      </c>
      <c r="E52" s="37">
        <f>Calc!D93</f>
        <v>29119972.559999999</v>
      </c>
      <c r="F52" s="34"/>
      <c r="G52" s="38">
        <v>26013</v>
      </c>
      <c r="H52" s="34"/>
      <c r="I52" s="39">
        <f>Calc!F93</f>
        <v>74</v>
      </c>
    </row>
    <row r="53" spans="3:9" x14ac:dyDescent="0.3">
      <c r="C53" s="36" t="str">
        <f>Calc!C94</f>
        <v>Suman Katte</v>
      </c>
      <c r="D53" s="34">
        <f t="shared" si="0"/>
        <v>1</v>
      </c>
      <c r="E53" s="37">
        <f>Calc!D94</f>
        <v>36239182.490000002</v>
      </c>
      <c r="F53" s="34"/>
      <c r="G53" s="38">
        <v>33156</v>
      </c>
      <c r="H53" s="34"/>
      <c r="I53" s="39">
        <f>Calc!F94</f>
        <v>72</v>
      </c>
    </row>
    <row r="54" spans="3:9" x14ac:dyDescent="0.3">
      <c r="C54" s="36" t="str">
        <f>Calc!C95</f>
        <v>Vasavi Veeravasarapu</v>
      </c>
      <c r="D54" s="34">
        <f t="shared" si="0"/>
        <v>1</v>
      </c>
      <c r="E54" s="37">
        <f>Calc!D95</f>
        <v>32328491.579999998</v>
      </c>
      <c r="F54" s="34"/>
      <c r="G54" s="38">
        <v>26614</v>
      </c>
      <c r="H54" s="34"/>
      <c r="I54" s="39">
        <f>Calc!F95</f>
        <v>82</v>
      </c>
    </row>
    <row r="55" spans="3:9" x14ac:dyDescent="0.3">
      <c r="C55" s="36" t="str">
        <f>Calc!C96</f>
        <v>Venkat Kodi</v>
      </c>
      <c r="D55" s="34">
        <f t="shared" si="0"/>
        <v>1</v>
      </c>
      <c r="E55" s="37">
        <f>Calc!D96</f>
        <v>35962054.170000002</v>
      </c>
      <c r="F55" s="34"/>
      <c r="G55" s="38">
        <v>30553</v>
      </c>
      <c r="H55" s="34"/>
      <c r="I55" s="39">
        <f>Calc!F96</f>
        <v>73</v>
      </c>
    </row>
    <row r="56" spans="3:9" x14ac:dyDescent="0.3">
      <c r="C56" s="36" t="str">
        <f>Calc!C97</f>
        <v>Yedukondalu Panditula</v>
      </c>
      <c r="D56" s="34">
        <f t="shared" si="0"/>
        <v>0</v>
      </c>
      <c r="E56" s="37">
        <f>Calc!D97</f>
        <v>23935271.5</v>
      </c>
      <c r="F56" s="34"/>
      <c r="G56" s="38">
        <v>20389</v>
      </c>
      <c r="H56" s="34"/>
      <c r="I56" s="39">
        <f>Calc!F97</f>
        <v>68</v>
      </c>
    </row>
    <row r="57" spans="3:9" x14ac:dyDescent="0.3">
      <c r="E57" s="23"/>
    </row>
    <row r="58" spans="3:9" x14ac:dyDescent="0.3">
      <c r="E58" s="23"/>
    </row>
  </sheetData>
  <mergeCells count="1">
    <mergeCell ref="A1:I1"/>
  </mergeCells>
  <conditionalFormatting sqref="C32:I32 C33:D56 F33:I56 E33:E58">
    <cfRule type="expression" dxfId="1" priority="5">
      <formula>ISODD(ROW($C32))</formula>
    </cfRule>
  </conditionalFormatting>
  <conditionalFormatting sqref="C32:I56">
    <cfRule type="expression" dxfId="0" priority="1">
      <formula>"isodd(row($C32))"</formula>
    </cfRule>
  </conditionalFormatting>
  <conditionalFormatting sqref="E32:E58">
    <cfRule type="dataBar" priority="7">
      <dataBar>
        <cfvo type="num" val="0"/>
        <cfvo type="num" val="75000000"/>
        <color theme="5"/>
      </dataBar>
      <extLst>
        <ext xmlns:x14="http://schemas.microsoft.com/office/spreadsheetml/2009/9/main" uri="{B025F937-C7B1-47D3-B67F-A62EFF666E3E}">
          <x14:id>{B6CBD29F-E7DB-41E3-AACE-18143BD89F65}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6A9B88B6-246C-488B-98A3-2EE528C014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" iconId="2"/>
            </x14:iconSet>
          </x14:cfRule>
          <xm:sqref>D32:D56</xm:sqref>
        </x14:conditionalFormatting>
        <x14:conditionalFormatting xmlns:xm="http://schemas.microsoft.com/office/excel/2006/main">
          <x14:cfRule type="dataBar" id="{B6CBD29F-E7DB-41E3-AACE-18143BD89F65}">
            <x14:dataBar minLength="0" maxLength="100" gradient="0">
              <x14:cfvo type="num">
                <xm:f>0</xm:f>
              </x14:cfvo>
              <x14:cfvo type="num">
                <xm:f>75000000</xm:f>
              </x14:cfvo>
              <x14:negativeFillColor rgb="FFFF0000"/>
              <x14:axisColor rgb="FF000000"/>
            </x14:dataBar>
          </x14:cfRule>
          <xm:sqref>E32:E58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B63C-1390-41EE-8F1D-E6756C01892B}">
  <dimension ref="B4:F98"/>
  <sheetViews>
    <sheetView zoomScale="74" zoomScaleNormal="132" workbookViewId="0">
      <selection activeCell="D73" sqref="D73"/>
    </sheetView>
  </sheetViews>
  <sheetFormatPr defaultRowHeight="14.4" x14ac:dyDescent="0.3"/>
  <cols>
    <col min="2" max="2" width="14.109375" bestFit="1" customWidth="1"/>
    <col min="3" max="3" width="23.5546875" bestFit="1" customWidth="1"/>
    <col min="4" max="4" width="15.77734375" bestFit="1" customWidth="1"/>
    <col min="5" max="5" width="12.33203125" bestFit="1" customWidth="1"/>
    <col min="6" max="6" width="15.5546875" bestFit="1" customWidth="1"/>
  </cols>
  <sheetData>
    <row r="4" spans="2:6" x14ac:dyDescent="0.3">
      <c r="B4" t="s">
        <v>64</v>
      </c>
      <c r="C4" t="s">
        <v>65</v>
      </c>
      <c r="D4" t="s">
        <v>66</v>
      </c>
      <c r="E4" t="s">
        <v>69</v>
      </c>
      <c r="F4" t="s">
        <v>70</v>
      </c>
    </row>
    <row r="5" spans="2:6" x14ac:dyDescent="0.3">
      <c r="B5" s="12">
        <v>750177492.04999995</v>
      </c>
      <c r="C5" s="6">
        <v>669020</v>
      </c>
      <c r="D5" s="6">
        <v>1800</v>
      </c>
      <c r="E5" s="14">
        <v>25</v>
      </c>
      <c r="F5" s="11">
        <v>30007099.681999996</v>
      </c>
    </row>
    <row r="19" spans="2:3" x14ac:dyDescent="0.3">
      <c r="B19" s="9" t="s">
        <v>67</v>
      </c>
      <c r="C19" t="s">
        <v>64</v>
      </c>
    </row>
    <row r="20" spans="2:3" x14ac:dyDescent="0.3">
      <c r="B20" s="10" t="s">
        <v>7</v>
      </c>
      <c r="C20" s="12">
        <v>132235004.37</v>
      </c>
    </row>
    <row r="21" spans="2:3" x14ac:dyDescent="0.3">
      <c r="B21" s="10" t="s">
        <v>0</v>
      </c>
      <c r="C21" s="12">
        <v>130269343.19</v>
      </c>
    </row>
    <row r="22" spans="2:3" x14ac:dyDescent="0.3">
      <c r="B22" s="10" t="s">
        <v>10</v>
      </c>
      <c r="C22" s="12">
        <v>127773644.39</v>
      </c>
    </row>
    <row r="23" spans="2:3" x14ac:dyDescent="0.3">
      <c r="B23" s="10" t="s">
        <v>5</v>
      </c>
      <c r="C23" s="12">
        <v>121750291.45999999</v>
      </c>
    </row>
    <row r="24" spans="2:3" x14ac:dyDescent="0.3">
      <c r="B24" s="10" t="s">
        <v>16</v>
      </c>
      <c r="C24" s="12">
        <v>120383424.56</v>
      </c>
    </row>
    <row r="25" spans="2:3" x14ac:dyDescent="0.3">
      <c r="B25" s="10" t="s">
        <v>23</v>
      </c>
      <c r="C25" s="12">
        <v>117765784.08</v>
      </c>
    </row>
    <row r="26" spans="2:3" x14ac:dyDescent="0.3">
      <c r="B26" s="10" t="s">
        <v>68</v>
      </c>
      <c r="C26" s="12">
        <v>750177492.04999995</v>
      </c>
    </row>
    <row r="50" spans="2:3" x14ac:dyDescent="0.3">
      <c r="B50" s="9" t="s">
        <v>67</v>
      </c>
      <c r="C50" t="s">
        <v>64</v>
      </c>
    </row>
    <row r="51" spans="2:3" x14ac:dyDescent="0.3">
      <c r="B51" s="10" t="s">
        <v>60</v>
      </c>
      <c r="C51" s="12">
        <v>370995356.41000003</v>
      </c>
    </row>
    <row r="52" spans="2:3" x14ac:dyDescent="0.3">
      <c r="B52" s="10" t="s">
        <v>61</v>
      </c>
      <c r="C52" s="12">
        <v>240164261.33000001</v>
      </c>
    </row>
    <row r="53" spans="2:3" x14ac:dyDescent="0.3">
      <c r="B53" s="10" t="s">
        <v>62</v>
      </c>
      <c r="C53" s="12">
        <v>139017874.31</v>
      </c>
    </row>
    <row r="54" spans="2:3" x14ac:dyDescent="0.3">
      <c r="B54" s="10" t="s">
        <v>68</v>
      </c>
      <c r="C54" s="12">
        <v>750177492.04999995</v>
      </c>
    </row>
    <row r="72" spans="3:6" x14ac:dyDescent="0.3">
      <c r="C72" s="9" t="s">
        <v>67</v>
      </c>
      <c r="D72" t="s">
        <v>64</v>
      </c>
      <c r="E72" s="14" t="s">
        <v>65</v>
      </c>
      <c r="F72" s="14" t="s">
        <v>66</v>
      </c>
    </row>
    <row r="73" spans="3:6" x14ac:dyDescent="0.3">
      <c r="C73" s="10" t="s">
        <v>42</v>
      </c>
      <c r="D73" s="22">
        <v>33361933.710000001</v>
      </c>
      <c r="E73" s="14">
        <v>30608</v>
      </c>
      <c r="F73" s="14">
        <v>77</v>
      </c>
    </row>
    <row r="74" spans="3:6" x14ac:dyDescent="0.3">
      <c r="C74" s="10" t="s">
        <v>4</v>
      </c>
      <c r="D74" s="22">
        <v>34520948.560000002</v>
      </c>
      <c r="E74" s="14">
        <v>33282</v>
      </c>
      <c r="F74" s="14">
        <v>76</v>
      </c>
    </row>
    <row r="75" spans="3:6" x14ac:dyDescent="0.3">
      <c r="C75" s="10" t="s">
        <v>45</v>
      </c>
      <c r="D75" s="22">
        <v>37033915.729999997</v>
      </c>
      <c r="E75" s="14">
        <v>30805</v>
      </c>
      <c r="F75" s="14">
        <v>81</v>
      </c>
    </row>
    <row r="76" spans="3:6" x14ac:dyDescent="0.3">
      <c r="C76" s="10" t="s">
        <v>20</v>
      </c>
      <c r="D76" s="22">
        <v>26761926.66</v>
      </c>
      <c r="E76" s="14">
        <v>24550</v>
      </c>
      <c r="F76" s="14">
        <v>71</v>
      </c>
    </row>
    <row r="77" spans="3:6" x14ac:dyDescent="0.3">
      <c r="C77" s="10" t="s">
        <v>34</v>
      </c>
      <c r="D77" s="22">
        <v>27533038.050000001</v>
      </c>
      <c r="E77" s="14">
        <v>23645</v>
      </c>
      <c r="F77" s="14">
        <v>70</v>
      </c>
    </row>
    <row r="78" spans="3:6" x14ac:dyDescent="0.3">
      <c r="C78" s="10" t="s">
        <v>37</v>
      </c>
      <c r="D78" s="22">
        <v>34079381.979999997</v>
      </c>
      <c r="E78" s="14">
        <v>30966</v>
      </c>
      <c r="F78" s="14">
        <v>80</v>
      </c>
    </row>
    <row r="79" spans="3:6" x14ac:dyDescent="0.3">
      <c r="C79" s="10" t="s">
        <v>40</v>
      </c>
      <c r="D79" s="22">
        <v>28619175.760000002</v>
      </c>
      <c r="E79" s="14">
        <v>25820</v>
      </c>
      <c r="F79" s="14">
        <v>65</v>
      </c>
    </row>
    <row r="80" spans="3:6" x14ac:dyDescent="0.3">
      <c r="C80" s="10" t="s">
        <v>21</v>
      </c>
      <c r="D80" s="22">
        <v>21653834.16</v>
      </c>
      <c r="E80" s="14">
        <v>19025</v>
      </c>
      <c r="F80" s="14">
        <v>62</v>
      </c>
    </row>
    <row r="81" spans="3:6" x14ac:dyDescent="0.3">
      <c r="C81" s="10" t="s">
        <v>25</v>
      </c>
      <c r="D81" s="22">
        <v>32413454.289999999</v>
      </c>
      <c r="E81" s="14">
        <v>28964</v>
      </c>
      <c r="F81" s="14">
        <v>78</v>
      </c>
    </row>
    <row r="82" spans="3:6" x14ac:dyDescent="0.3">
      <c r="C82" s="10" t="s">
        <v>49</v>
      </c>
      <c r="D82" s="22">
        <v>30142629.16</v>
      </c>
      <c r="E82" s="14">
        <v>26993</v>
      </c>
      <c r="F82" s="14">
        <v>70</v>
      </c>
    </row>
    <row r="83" spans="3:6" x14ac:dyDescent="0.3">
      <c r="C83" s="10" t="s">
        <v>14</v>
      </c>
      <c r="D83" s="22">
        <v>24271402.609999999</v>
      </c>
      <c r="E83" s="14">
        <v>20573</v>
      </c>
      <c r="F83" s="14">
        <v>70</v>
      </c>
    </row>
    <row r="84" spans="3:6" x14ac:dyDescent="0.3">
      <c r="C84" s="10" t="s">
        <v>46</v>
      </c>
      <c r="D84" s="22">
        <v>30175070.66</v>
      </c>
      <c r="E84" s="14">
        <v>28141</v>
      </c>
      <c r="F84" s="14">
        <v>77</v>
      </c>
    </row>
    <row r="85" spans="3:6" x14ac:dyDescent="0.3">
      <c r="C85" s="10" t="s">
        <v>9</v>
      </c>
      <c r="D85" s="22">
        <v>30316625.920000002</v>
      </c>
      <c r="E85" s="14">
        <v>26096</v>
      </c>
      <c r="F85" s="14">
        <v>70</v>
      </c>
    </row>
    <row r="86" spans="3:6" x14ac:dyDescent="0.3">
      <c r="C86" s="10" t="s">
        <v>44</v>
      </c>
      <c r="D86" s="22">
        <v>32136174</v>
      </c>
      <c r="E86" s="14">
        <v>29960</v>
      </c>
      <c r="F86" s="14">
        <v>72</v>
      </c>
    </row>
    <row r="87" spans="3:6" x14ac:dyDescent="0.3">
      <c r="C87" s="10" t="s">
        <v>52</v>
      </c>
      <c r="D87" s="22">
        <v>20275842.579999998</v>
      </c>
      <c r="E87" s="14">
        <v>16987</v>
      </c>
      <c r="F87" s="14">
        <v>58</v>
      </c>
    </row>
    <row r="88" spans="3:6" x14ac:dyDescent="0.3">
      <c r="C88" s="10" t="s">
        <v>51</v>
      </c>
      <c r="D88" s="22">
        <v>30798384.190000001</v>
      </c>
      <c r="E88" s="14">
        <v>27224</v>
      </c>
      <c r="F88" s="14">
        <v>69</v>
      </c>
    </row>
    <row r="89" spans="3:6" x14ac:dyDescent="0.3">
      <c r="C89" s="10" t="s">
        <v>2</v>
      </c>
      <c r="D89" s="22">
        <v>35396605.649999999</v>
      </c>
      <c r="E89" s="14">
        <v>31134</v>
      </c>
      <c r="F89" s="14">
        <v>76</v>
      </c>
    </row>
    <row r="90" spans="3:6" x14ac:dyDescent="0.3">
      <c r="C90" s="10" t="s">
        <v>39</v>
      </c>
      <c r="D90" s="22">
        <v>27270945.73</v>
      </c>
      <c r="E90" s="14">
        <v>24579</v>
      </c>
      <c r="F90" s="14">
        <v>69</v>
      </c>
    </row>
    <row r="91" spans="3:6" x14ac:dyDescent="0.3">
      <c r="C91" s="10" t="s">
        <v>15</v>
      </c>
      <c r="D91" s="22">
        <v>31225256.09</v>
      </c>
      <c r="E91" s="14">
        <v>28865</v>
      </c>
      <c r="F91" s="14">
        <v>73</v>
      </c>
    </row>
    <row r="92" spans="3:6" x14ac:dyDescent="0.3">
      <c r="C92" s="10" t="s">
        <v>12</v>
      </c>
      <c r="D92" s="22">
        <v>24605974.260000002</v>
      </c>
      <c r="E92" s="14">
        <v>24078</v>
      </c>
      <c r="F92" s="14">
        <v>67</v>
      </c>
    </row>
    <row r="93" spans="3:6" x14ac:dyDescent="0.3">
      <c r="C93" s="10" t="s">
        <v>27</v>
      </c>
      <c r="D93" s="22">
        <v>29119972.559999999</v>
      </c>
      <c r="E93" s="14">
        <v>26013</v>
      </c>
      <c r="F93" s="14">
        <v>74</v>
      </c>
    </row>
    <row r="94" spans="3:6" x14ac:dyDescent="0.3">
      <c r="C94" s="10" t="s">
        <v>30</v>
      </c>
      <c r="D94" s="22">
        <v>36239182.490000002</v>
      </c>
      <c r="E94" s="14">
        <v>33156</v>
      </c>
      <c r="F94" s="14">
        <v>72</v>
      </c>
    </row>
    <row r="95" spans="3:6" x14ac:dyDescent="0.3">
      <c r="C95" s="10" t="s">
        <v>31</v>
      </c>
      <c r="D95" s="22">
        <v>32328491.579999998</v>
      </c>
      <c r="E95" s="14">
        <v>26614</v>
      </c>
      <c r="F95" s="14">
        <v>82</v>
      </c>
    </row>
    <row r="96" spans="3:6" x14ac:dyDescent="0.3">
      <c r="C96" s="10" t="s">
        <v>28</v>
      </c>
      <c r="D96" s="22">
        <v>35962054.170000002</v>
      </c>
      <c r="E96" s="14">
        <v>30553</v>
      </c>
      <c r="F96" s="14">
        <v>73</v>
      </c>
    </row>
    <row r="97" spans="3:6" x14ac:dyDescent="0.3">
      <c r="C97" s="10" t="s">
        <v>18</v>
      </c>
      <c r="D97" s="22">
        <v>23935271.5</v>
      </c>
      <c r="E97" s="14">
        <v>20389</v>
      </c>
      <c r="F97" s="14">
        <v>68</v>
      </c>
    </row>
    <row r="98" spans="3:6" x14ac:dyDescent="0.3">
      <c r="C98" s="10" t="s">
        <v>68</v>
      </c>
      <c r="D98" s="22">
        <v>750177492.04999995</v>
      </c>
      <c r="E98" s="14">
        <v>669020</v>
      </c>
      <c r="F98" s="14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Dahboard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Gummidi Swetha</cp:lastModifiedBy>
  <dcterms:created xsi:type="dcterms:W3CDTF">2021-03-14T20:21:32Z</dcterms:created>
  <dcterms:modified xsi:type="dcterms:W3CDTF">2026-07-04T05:52:49Z</dcterms:modified>
</cp:coreProperties>
</file>